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4ae700689b9aa95/Documents/"/>
    </mc:Choice>
  </mc:AlternateContent>
  <xr:revisionPtr revIDLastSave="0" documentId="8_{0727371B-BFB5-4144-94E5-BBCBCBA7BA26}" xr6:coauthVersionLast="47" xr6:coauthVersionMax="47" xr10:uidLastSave="{00000000-0000-0000-0000-000000000000}"/>
  <bookViews>
    <workbookView xWindow="-108" yWindow="-108" windowWidth="23256" windowHeight="13896" xr2:uid="{868B9C7C-4C8E-4DC5-A349-4F6BE33EE3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L2" i="1"/>
  <c r="M2" i="1"/>
  <c r="N2" i="1"/>
  <c r="O2" i="1"/>
  <c r="P2" i="1"/>
  <c r="Q2" i="1"/>
  <c r="R2" i="1"/>
  <c r="S2" i="1"/>
  <c r="T2" i="1"/>
  <c r="K3" i="1"/>
  <c r="L3" i="1"/>
  <c r="M3" i="1"/>
  <c r="N3" i="1"/>
  <c r="O3" i="1"/>
  <c r="P3" i="1"/>
  <c r="Q3" i="1"/>
  <c r="R3" i="1"/>
  <c r="S3" i="1"/>
  <c r="T3" i="1"/>
  <c r="K4" i="1"/>
  <c r="L4" i="1"/>
  <c r="M4" i="1"/>
  <c r="N4" i="1"/>
  <c r="O4" i="1"/>
  <c r="P4" i="1"/>
  <c r="Q4" i="1"/>
  <c r="R4" i="1"/>
  <c r="S4" i="1"/>
  <c r="T4" i="1"/>
  <c r="K5" i="1"/>
  <c r="L5" i="1"/>
  <c r="M5" i="1"/>
  <c r="N5" i="1"/>
  <c r="O5" i="1"/>
  <c r="P5" i="1"/>
  <c r="Q5" i="1"/>
  <c r="R5" i="1"/>
  <c r="S5" i="1"/>
  <c r="T5" i="1"/>
  <c r="K6" i="1"/>
  <c r="L6" i="1"/>
  <c r="M6" i="1"/>
  <c r="N6" i="1"/>
  <c r="O6" i="1"/>
  <c r="P6" i="1"/>
  <c r="Q6" i="1"/>
  <c r="R6" i="1"/>
  <c r="S6" i="1"/>
  <c r="T6" i="1"/>
  <c r="K7" i="1"/>
  <c r="L7" i="1"/>
  <c r="M7" i="1"/>
  <c r="N7" i="1"/>
  <c r="O7" i="1"/>
  <c r="P7" i="1"/>
  <c r="Q7" i="1"/>
  <c r="R7" i="1"/>
  <c r="S7" i="1"/>
  <c r="T7" i="1"/>
  <c r="K8" i="1"/>
  <c r="L8" i="1"/>
  <c r="M8" i="1"/>
  <c r="N8" i="1"/>
  <c r="O8" i="1"/>
  <c r="P8" i="1"/>
  <c r="Q8" i="1"/>
  <c r="R8" i="1"/>
  <c r="S8" i="1"/>
  <c r="T8" i="1"/>
  <c r="K9" i="1"/>
  <c r="L9" i="1"/>
  <c r="M9" i="1"/>
  <c r="N9" i="1"/>
  <c r="O9" i="1"/>
  <c r="P9" i="1"/>
  <c r="Q9" i="1"/>
  <c r="R9" i="1"/>
  <c r="S9" i="1"/>
  <c r="T9" i="1"/>
</calcChain>
</file>

<file path=xl/sharedStrings.xml><?xml version="1.0" encoding="utf-8"?>
<sst xmlns="http://schemas.openxmlformats.org/spreadsheetml/2006/main" count="59" uniqueCount="37">
  <si>
    <t>StudentID</t>
  </si>
  <si>
    <t>Name</t>
  </si>
  <si>
    <t>Age</t>
  </si>
  <si>
    <t>Major</t>
  </si>
  <si>
    <t>GPA</t>
  </si>
  <si>
    <t>Passed_Math</t>
  </si>
  <si>
    <t>Passed_English</t>
  </si>
  <si>
    <t>Scholarship</t>
  </si>
  <si>
    <t>Attendance_Rate</t>
  </si>
  <si>
    <t>Alice</t>
  </si>
  <si>
    <t>Computer Science</t>
  </si>
  <si>
    <t>Yes</t>
  </si>
  <si>
    <t>Bob</t>
  </si>
  <si>
    <t>Biology</t>
  </si>
  <si>
    <t>No</t>
  </si>
  <si>
    <t>Charlie</t>
  </si>
  <si>
    <t>Engineering</t>
  </si>
  <si>
    <t>Diana</t>
  </si>
  <si>
    <t>Business</t>
  </si>
  <si>
    <t>Emma</t>
  </si>
  <si>
    <t>Math</t>
  </si>
  <si>
    <t>Frank</t>
  </si>
  <si>
    <t>Physics</t>
  </si>
  <si>
    <t>Grace</t>
  </si>
  <si>
    <t>Chemistry</t>
  </si>
  <si>
    <t>Henry</t>
  </si>
  <si>
    <t>History</t>
  </si>
  <si>
    <t>TASK 1</t>
  </si>
  <si>
    <t>TASK 2</t>
  </si>
  <si>
    <t>TASK 3</t>
  </si>
  <si>
    <t>TASK 4</t>
  </si>
  <si>
    <t>TASK 5</t>
  </si>
  <si>
    <t>TASK 6</t>
  </si>
  <si>
    <t>TASK 7</t>
  </si>
  <si>
    <t>TASK 8</t>
  </si>
  <si>
    <t>TASK 9</t>
  </si>
  <si>
    <t>TASK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</si>
</sst>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rgb="FFFFFFFF"/>
      <name val="Calibri"/>
      <charset val="134"/>
    </font>
    <font>
      <sz val="11"/>
      <color theme="1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9" fontId="2" fillId="0" borderId="2" xfId="0" applyNumberFormat="1" applyFont="1" applyBorder="1" applyAlignment="1">
      <alignment horizontal="center" vertical="center" wrapText="1" readingOrder="1"/>
    </xf>
    <xf numFmtId="0" fontId="0" fillId="0" borderId="0" xfId="0" applyAlignment="1">
      <alignment vertical="center"/>
    </xf>
    <xf numFmtId="0" fontId="1" fillId="2" borderId="3" xfId="0" applyFont="1" applyFill="1" applyBorder="1" applyAlignment="1">
      <alignment horizontal="center" vertical="center" wrapText="1" readingOrder="1"/>
    </xf>
    <xf numFmtId="0" fontId="1" fillId="2" borderId="4" xfId="0" applyFont="1" applyFill="1" applyBorder="1" applyAlignment="1">
      <alignment horizontal="center" vertical="center" wrapText="1" readingOrder="1"/>
    </xf>
    <xf numFmtId="0" fontId="2" fillId="0" borderId="5" xfId="0" applyFont="1" applyBorder="1" applyAlignment="1">
      <alignment horizontal="center" vertical="center" wrapText="1" readingOrder="1"/>
    </xf>
    <xf numFmtId="0" fontId="2" fillId="0" borderId="6" xfId="0" applyFont="1" applyBorder="1" applyAlignment="1">
      <alignment horizontal="center" vertical="center" wrapText="1" readingOrder="1"/>
    </xf>
    <xf numFmtId="9" fontId="2" fillId="0" borderId="6" xfId="0" applyNumberFormat="1" applyFont="1" applyBorder="1" applyAlignment="1">
      <alignment horizontal="center" vertical="center" wrapText="1" readingOrder="1"/>
    </xf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charset val="134"/>
        <scheme val="none"/>
      </font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1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charset val="134"/>
        <scheme val="none"/>
      </font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1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none"/>
      </font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none"/>
      </font>
      <numFmt numFmtId="13" formatCode="0%"/>
      <alignment horizontal="center" vertical="center" textRotation="0" wrapText="1" indent="0" justifyLastLine="0" shrinkToFit="0" readingOrder="1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none"/>
      </font>
      <alignment horizontal="center" vertical="center" textRotation="0" wrapText="1" indent="0" justifyLastLine="0" shrinkToFit="0" readingOrder="1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none"/>
      </font>
      <alignment horizontal="center" vertical="center" textRotation="0" wrapText="1" indent="0" justifyLastLine="0" shrinkToFit="0" readingOrder="1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none"/>
      </font>
      <alignment horizontal="center" vertical="center" textRotation="0" wrapText="1" indent="0" justifyLastLine="0" shrinkToFit="0" readingOrder="1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none"/>
      </font>
      <alignment horizontal="center" vertical="center" textRotation="0" wrapText="1" indent="0" justifyLastLine="0" shrinkToFit="0" readingOrder="1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none"/>
      </font>
      <alignment horizontal="center" vertical="center" textRotation="0" wrapText="1" indent="0" justifyLastLine="0" shrinkToFit="0" readingOrder="1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none"/>
      </font>
      <alignment horizontal="center" vertical="center" textRotation="0" wrapText="1" indent="0" justifyLastLine="0" shrinkToFit="0" readingOrder="1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none"/>
      </font>
      <alignment horizontal="center" vertical="center" textRotation="0" wrapText="1" indent="0" justifyLastLine="0" shrinkToFit="0" readingOrder="1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none"/>
      </font>
      <alignment horizontal="center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000000"/>
        </bottom>
      </border>
    </dxf>
    <dxf>
      <border outline="0">
        <top style="medium">
          <color rgb="FFCCCCCC"/>
        </top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1881F4-94E3-4637-995B-7FD7B37BFC41}" name="Table1" displayName="Table1" ref="A1:I9" totalsRowShown="0" headerRowDxfId="1" dataDxfId="2" headerRowBorderDxfId="13" tableBorderDxfId="14" totalsRowBorderDxfId="12">
  <autoFilter ref="A1:I9" xr:uid="{5A1881F4-94E3-4637-995B-7FD7B37BFC41}"/>
  <tableColumns count="9">
    <tableColumn id="1" xr3:uid="{2D605AC4-D3C8-448D-B2C4-2B93FF86CA4A}" name="StudentID" dataDxfId="11"/>
    <tableColumn id="2" xr3:uid="{7E7D8C19-29CD-4899-B15F-47629C34677C}" name="Name" dataDxfId="10"/>
    <tableColumn id="3" xr3:uid="{8F350366-1715-4B22-B1E2-D6C2B1DAF2D6}" name="Age" dataDxfId="9"/>
    <tableColumn id="4" xr3:uid="{2ADE0F70-1315-4265-8BA1-F707BA6CDB35}" name="Major" dataDxfId="8"/>
    <tableColumn id="5" xr3:uid="{F1ACD169-FF1B-41B2-A7EA-1D264CAE1264}" name="GPA" dataDxfId="7"/>
    <tableColumn id="6" xr3:uid="{73018796-00E8-41EE-A961-985CD7A3EABA}" name="Passed_Math" dataDxfId="6"/>
    <tableColumn id="7" xr3:uid="{4E4DC2DB-0F87-4666-8985-8A11E6A86396}" name="Passed_English" dataDxfId="5"/>
    <tableColumn id="8" xr3:uid="{849B4C8E-BCBC-4C08-A95C-D36D46B72377}" name="Scholarship" dataDxfId="4"/>
    <tableColumn id="9" xr3:uid="{5EEBE787-A06D-4036-9899-81A4F38F4184}" name="Attendance_Rate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C03F43-DE69-4D47-9DC5-FD1DFA448FD7}" name="Table2" displayName="Table2" ref="K1:T9" totalsRowShown="0" headerRowDxfId="0">
  <autoFilter ref="K1:T9" xr:uid="{6CC03F43-DE69-4D47-9DC5-FD1DFA448FD7}"/>
  <tableColumns count="10">
    <tableColumn id="1" xr3:uid="{AF3C2FA5-0A75-48A4-89DB-C10F3AE78403}" name="TASK 1">
      <calculatedColumnFormula>AND(E2&gt;3.5,F2,"YES")</calculatedColumnFormula>
    </tableColumn>
    <tableColumn id="2" xr3:uid="{FF4A6BD3-2C20-43F4-9FDE-103C210812C3}" name="TASK 2">
      <calculatedColumnFormula>OR(I2&gt;=90%,H2,"YES")</calculatedColumnFormula>
    </tableColumn>
    <tableColumn id="3" xr3:uid="{235C86AD-ACFD-4DED-BB66-4430BC62B447}" name="TASK 3">
      <calculatedColumnFormula>IF(OR(G2="NO",E2&lt;3),"TRUE","FALSE")</calculatedColumnFormula>
    </tableColumn>
    <tableColumn id="4" xr3:uid="{8C305249-B81A-4819-B24C-9E088B8DF5F2}" name="TASK 4">
      <calculatedColumnFormula>AND(F2="YES",G2="YES",B2&lt;&gt;"FRANK",B2&lt;&gt;"Bob")</calculatedColumnFormula>
    </tableColumn>
    <tableColumn id="5" xr3:uid="{65827758-E040-491A-A97A-36578CD37FF0}" name="TASK 5">
      <calculatedColumnFormula>IF(AND(H2="YES",I2&gt;=85%),"TRUE","FALSE")</calculatedColumnFormula>
    </tableColumn>
    <tableColumn id="6" xr3:uid="{05F033E9-27D8-4A8D-B598-D64A0EEDD521}" name="TASK 6">
      <calculatedColumnFormula>AND(OR(F2="YES",E2&gt;=3.5),NOT(AND(F2="YES",E2&gt;=3.5)))</calculatedColumnFormula>
    </tableColumn>
    <tableColumn id="7" xr3:uid="{4FA9F478-F992-47D3-820C-89ABB91CA98A}" name="TASK 7">
      <calculatedColumnFormula>IF(AND(F2="NO",G2="NO"),"TRUE","FALSE")</calculatedColumnFormula>
    </tableColumn>
    <tableColumn id="8" xr3:uid="{8D56D708-0749-41BB-BB3E-1518E09687C2}" name="TASK 8">
      <calculatedColumnFormula>IF(AND(C2&lt;=20,E2&gt;=3.5),"TRUE","FALSE")</calculatedColumnFormula>
    </tableColumn>
    <tableColumn id="9" xr3:uid="{4340CDE7-88AC-451F-8DFA-FA4BD0DCE98A}" name="TASK 9">
      <calculatedColumnFormula>IF(AND(OR(H2="YES",AND(F2="YES",G2="YES")),I2&gt;=80%),"TRUE","FALSE")</calculatedColumnFormula>
    </tableColumn>
    <tableColumn id="10" xr3:uid="{01C37C6C-C64F-4F47-B8ED-E4D33142E122}" name="TASK 10">
      <calculatedColumnFormula>IF(OR(AND(H2="N0",E2&lt;3),I2&lt;70%),"TRUE","FALSE")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993A8-7C60-4730-A1D4-2B02F9FC8DA9}">
  <dimension ref="A1:T11"/>
  <sheetViews>
    <sheetView tabSelected="1" topLeftCell="B1" workbookViewId="0">
      <selection activeCell="O13" sqref="O13"/>
    </sheetView>
  </sheetViews>
  <sheetFormatPr defaultColWidth="9" defaultRowHeight="14.4"/>
  <cols>
    <col min="1" max="1" width="11.33203125" customWidth="1"/>
    <col min="4" max="4" width="11.109375" customWidth="1"/>
    <col min="6" max="6" width="14.21875" customWidth="1"/>
    <col min="7" max="7" width="15.5546875" customWidth="1"/>
    <col min="8" max="8" width="12.5546875" customWidth="1"/>
    <col min="9" max="9" width="17.44140625" customWidth="1"/>
    <col min="20" max="20" width="9.6640625" customWidth="1"/>
  </cols>
  <sheetData>
    <row r="1" spans="1:20" ht="15" thickBo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K1" s="5" t="s">
        <v>27</v>
      </c>
      <c r="L1" s="5" t="s">
        <v>28</v>
      </c>
      <c r="M1" s="5" t="s">
        <v>29</v>
      </c>
      <c r="N1" s="5" t="s">
        <v>30</v>
      </c>
      <c r="O1" s="5" t="s">
        <v>31</v>
      </c>
      <c r="P1" s="5" t="s">
        <v>32</v>
      </c>
      <c r="Q1" s="5" t="s">
        <v>33</v>
      </c>
      <c r="R1" s="5" t="s">
        <v>34</v>
      </c>
      <c r="S1" s="5" t="s">
        <v>35</v>
      </c>
      <c r="T1" s="5" t="s">
        <v>36</v>
      </c>
    </row>
    <row r="2" spans="1:20" ht="29.4" thickBot="1">
      <c r="A2" s="1">
        <v>101</v>
      </c>
      <c r="B2" s="2" t="s">
        <v>9</v>
      </c>
      <c r="C2" s="2">
        <v>20</v>
      </c>
      <c r="D2" s="2" t="s">
        <v>10</v>
      </c>
      <c r="E2" s="2">
        <v>3.8</v>
      </c>
      <c r="F2" s="2" t="s">
        <v>11</v>
      </c>
      <c r="G2" s="2" t="s">
        <v>11</v>
      </c>
      <c r="H2" s="2" t="s">
        <v>11</v>
      </c>
      <c r="I2" s="3">
        <v>0.95</v>
      </c>
      <c r="K2" t="b">
        <f>AND(E2&gt;3.5,F2,"YES")</f>
        <v>1</v>
      </c>
      <c r="L2" t="b">
        <f>OR(I2&gt;=90%,H2,"YES")</f>
        <v>1</v>
      </c>
      <c r="M2" t="str">
        <f>IF(OR(G2="NO",E2&lt;3),"TRUE","FALSE")</f>
        <v>FALSE</v>
      </c>
      <c r="N2" t="b">
        <f>AND(F2="YES",G2="YES",B2&lt;&gt;"FRANK",B2&lt;&gt;"Bob")</f>
        <v>1</v>
      </c>
      <c r="O2" t="str">
        <f>IF(AND(H2="YES",I2&gt;=85%),"TRUE","FALSE")</f>
        <v>TRUE</v>
      </c>
      <c r="P2" t="b">
        <f>AND(OR(F2="YES",E2&gt;=3.5),NOT(AND(F2="YES",E2&gt;=3.5)))</f>
        <v>0</v>
      </c>
      <c r="Q2" t="str">
        <f>IF(AND(F2="NO",G2="NO"),"TRUE","FALSE")</f>
        <v>FALSE</v>
      </c>
      <c r="R2" t="str">
        <f>IF(AND(C2&lt;=20,E2&gt;=3.5),"TRUE","FALSE")</f>
        <v>TRUE</v>
      </c>
      <c r="S2" t="str">
        <f>IF(AND(OR(H2="YES",AND(F2="YES",G2="YES")),I2&gt;=80%),"TRUE","FALSE")</f>
        <v>TRUE</v>
      </c>
      <c r="T2" t="str">
        <f>IF(OR(AND(H2="N0",E2&lt;3),I2&lt;70%),"TRUE","FALSE")</f>
        <v>FALSE</v>
      </c>
    </row>
    <row r="3" spans="1:20" ht="15" thickBot="1">
      <c r="A3" s="1">
        <v>102</v>
      </c>
      <c r="B3" s="2" t="s">
        <v>12</v>
      </c>
      <c r="C3" s="2">
        <v>21</v>
      </c>
      <c r="D3" s="2" t="s">
        <v>13</v>
      </c>
      <c r="E3" s="2">
        <v>2.9</v>
      </c>
      <c r="F3" s="2" t="s">
        <v>14</v>
      </c>
      <c r="G3" s="2" t="s">
        <v>11</v>
      </c>
      <c r="H3" s="2" t="s">
        <v>14</v>
      </c>
      <c r="I3" s="3">
        <v>0.78</v>
      </c>
      <c r="K3" t="b">
        <f t="shared" ref="K3:K9" si="0">AND(E3&gt;3.5,F3,"YES")</f>
        <v>0</v>
      </c>
      <c r="L3" t="b">
        <f t="shared" ref="L3:L9" si="1">OR(I3&gt;=90%,H3,"YES")</f>
        <v>0</v>
      </c>
      <c r="M3" t="str">
        <f t="shared" ref="M3:M9" si="2">IF(OR(G3="NO",E3&lt;3),"TRUE","FALSE")</f>
        <v>TRUE</v>
      </c>
      <c r="N3" t="b">
        <f t="shared" ref="N3:N9" si="3">AND(F3="YES",G3="YES",B3&lt;&gt;"FRANK",B3&lt;&gt;"Bob")</f>
        <v>0</v>
      </c>
      <c r="O3" t="str">
        <f t="shared" ref="O3:O9" si="4">IF(AND(H3="YES",I3&gt;=85%),"TRUE","FALSE")</f>
        <v>FALSE</v>
      </c>
      <c r="P3" t="b">
        <f t="shared" ref="P3:P9" si="5">AND(OR(F3="YES",E3&gt;=3.5),NOT(AND(F3="YES",E3&gt;=3.5)))</f>
        <v>0</v>
      </c>
      <c r="Q3" t="str">
        <f t="shared" ref="Q3:Q9" si="6">IF(AND(F3="NO",G3="NO"),"TRUE","FALSE")</f>
        <v>FALSE</v>
      </c>
      <c r="R3" t="str">
        <f t="shared" ref="R3:R9" si="7">IF(AND(C3&lt;=20,E3&gt;=3.5),"TRUE","FALSE")</f>
        <v>FALSE</v>
      </c>
      <c r="S3" t="str">
        <f t="shared" ref="S3:S9" si="8">IF(AND(OR(H3="YES",AND(F3="YES",G3="YES")),I3&gt;=80%),"TRUE","FALSE")</f>
        <v>FALSE</v>
      </c>
      <c r="T3" t="str">
        <f t="shared" ref="T3:T9" si="9">IF(OR(AND(H3="N0",E3&lt;3),I3&lt;70%),"TRUE","FALSE")</f>
        <v>FALSE</v>
      </c>
    </row>
    <row r="4" spans="1:20" ht="29.4" thickBot="1">
      <c r="A4" s="1">
        <v>103</v>
      </c>
      <c r="B4" s="2" t="s">
        <v>15</v>
      </c>
      <c r="C4" s="2">
        <v>19</v>
      </c>
      <c r="D4" s="2" t="s">
        <v>16</v>
      </c>
      <c r="E4" s="2">
        <v>3.5</v>
      </c>
      <c r="F4" s="2" t="s">
        <v>11</v>
      </c>
      <c r="G4" s="2" t="s">
        <v>11</v>
      </c>
      <c r="H4" s="2" t="s">
        <v>11</v>
      </c>
      <c r="I4" s="3">
        <v>0.92</v>
      </c>
      <c r="K4" t="b">
        <f t="shared" si="0"/>
        <v>0</v>
      </c>
      <c r="L4" t="b">
        <f t="shared" si="1"/>
        <v>1</v>
      </c>
      <c r="M4" t="str">
        <f t="shared" si="2"/>
        <v>FALSE</v>
      </c>
      <c r="N4" t="b">
        <f t="shared" si="3"/>
        <v>1</v>
      </c>
      <c r="O4" t="str">
        <f t="shared" si="4"/>
        <v>TRUE</v>
      </c>
      <c r="P4" t="b">
        <f t="shared" si="5"/>
        <v>0</v>
      </c>
      <c r="Q4" t="str">
        <f t="shared" si="6"/>
        <v>FALSE</v>
      </c>
      <c r="R4" t="str">
        <f t="shared" si="7"/>
        <v>TRUE</v>
      </c>
      <c r="S4" t="str">
        <f t="shared" si="8"/>
        <v>TRUE</v>
      </c>
      <c r="T4" t="str">
        <f t="shared" si="9"/>
        <v>FALSE</v>
      </c>
    </row>
    <row r="5" spans="1:20" ht="15" thickBot="1">
      <c r="A5" s="1">
        <v>104</v>
      </c>
      <c r="B5" s="2" t="s">
        <v>17</v>
      </c>
      <c r="C5" s="2">
        <v>22</v>
      </c>
      <c r="D5" s="2" t="s">
        <v>18</v>
      </c>
      <c r="E5" s="2">
        <v>3.2</v>
      </c>
      <c r="F5" s="2" t="s">
        <v>11</v>
      </c>
      <c r="G5" s="2" t="s">
        <v>14</v>
      </c>
      <c r="H5" s="2" t="s">
        <v>14</v>
      </c>
      <c r="I5" s="3">
        <v>0.85</v>
      </c>
      <c r="K5" t="b">
        <f t="shared" si="0"/>
        <v>0</v>
      </c>
      <c r="L5" t="b">
        <f t="shared" si="1"/>
        <v>0</v>
      </c>
      <c r="M5" t="str">
        <f t="shared" si="2"/>
        <v>TRUE</v>
      </c>
      <c r="N5" t="b">
        <f t="shared" si="3"/>
        <v>0</v>
      </c>
      <c r="O5" t="str">
        <f t="shared" si="4"/>
        <v>FALSE</v>
      </c>
      <c r="P5" t="b">
        <f t="shared" si="5"/>
        <v>1</v>
      </c>
      <c r="Q5" t="str">
        <f t="shared" si="6"/>
        <v>FALSE</v>
      </c>
      <c r="R5" t="str">
        <f t="shared" si="7"/>
        <v>FALSE</v>
      </c>
      <c r="S5" t="str">
        <f t="shared" si="8"/>
        <v>FALSE</v>
      </c>
      <c r="T5" t="str">
        <f t="shared" si="9"/>
        <v>FALSE</v>
      </c>
    </row>
    <row r="6" spans="1:20" ht="15" thickBot="1">
      <c r="A6" s="1">
        <v>105</v>
      </c>
      <c r="B6" s="2" t="s">
        <v>19</v>
      </c>
      <c r="C6" s="2">
        <v>20</v>
      </c>
      <c r="D6" s="2" t="s">
        <v>20</v>
      </c>
      <c r="E6" s="2">
        <v>3.9</v>
      </c>
      <c r="F6" s="2" t="s">
        <v>11</v>
      </c>
      <c r="G6" s="2" t="s">
        <v>11</v>
      </c>
      <c r="H6" s="2" t="s">
        <v>11</v>
      </c>
      <c r="I6" s="3">
        <v>0.98</v>
      </c>
      <c r="K6" t="b">
        <f t="shared" si="0"/>
        <v>1</v>
      </c>
      <c r="L6" t="b">
        <f t="shared" si="1"/>
        <v>1</v>
      </c>
      <c r="M6" t="str">
        <f t="shared" si="2"/>
        <v>FALSE</v>
      </c>
      <c r="N6" t="b">
        <f t="shared" si="3"/>
        <v>1</v>
      </c>
      <c r="O6" t="str">
        <f t="shared" si="4"/>
        <v>TRUE</v>
      </c>
      <c r="P6" t="b">
        <f t="shared" si="5"/>
        <v>0</v>
      </c>
      <c r="Q6" t="str">
        <f t="shared" si="6"/>
        <v>FALSE</v>
      </c>
      <c r="R6" t="str">
        <f t="shared" si="7"/>
        <v>TRUE</v>
      </c>
      <c r="S6" t="str">
        <f t="shared" si="8"/>
        <v>TRUE</v>
      </c>
      <c r="T6" t="str">
        <f t="shared" si="9"/>
        <v>FALSE</v>
      </c>
    </row>
    <row r="7" spans="1:20" ht="15" thickBot="1">
      <c r="A7" s="1">
        <v>106</v>
      </c>
      <c r="B7" s="2" t="s">
        <v>21</v>
      </c>
      <c r="C7" s="2">
        <v>21</v>
      </c>
      <c r="D7" s="2" t="s">
        <v>22</v>
      </c>
      <c r="E7" s="2">
        <v>2.5</v>
      </c>
      <c r="F7" s="2" t="s">
        <v>14</v>
      </c>
      <c r="G7" s="2" t="s">
        <v>14</v>
      </c>
      <c r="H7" s="2" t="s">
        <v>14</v>
      </c>
      <c r="I7" s="3">
        <v>0.6</v>
      </c>
      <c r="K7" t="b">
        <f t="shared" si="0"/>
        <v>0</v>
      </c>
      <c r="L7" t="b">
        <f t="shared" si="1"/>
        <v>0</v>
      </c>
      <c r="M7" t="str">
        <f t="shared" si="2"/>
        <v>TRUE</v>
      </c>
      <c r="N7" t="b">
        <f t="shared" si="3"/>
        <v>0</v>
      </c>
      <c r="O7" t="str">
        <f t="shared" si="4"/>
        <v>FALSE</v>
      </c>
      <c r="P7" t="b">
        <f t="shared" si="5"/>
        <v>0</v>
      </c>
      <c r="Q7" t="str">
        <f t="shared" si="6"/>
        <v>TRUE</v>
      </c>
      <c r="R7" t="str">
        <f t="shared" si="7"/>
        <v>FALSE</v>
      </c>
      <c r="S7" t="str">
        <f t="shared" si="8"/>
        <v>FALSE</v>
      </c>
      <c r="T7" t="str">
        <f t="shared" si="9"/>
        <v>TRUE</v>
      </c>
    </row>
    <row r="8" spans="1:20" ht="15" thickBot="1">
      <c r="A8" s="1">
        <v>107</v>
      </c>
      <c r="B8" s="2" t="s">
        <v>23</v>
      </c>
      <c r="C8" s="2">
        <v>19</v>
      </c>
      <c r="D8" s="2" t="s">
        <v>24</v>
      </c>
      <c r="E8" s="2">
        <v>3.6</v>
      </c>
      <c r="F8" s="2" t="s">
        <v>11</v>
      </c>
      <c r="G8" s="2" t="s">
        <v>11</v>
      </c>
      <c r="H8" s="2" t="s">
        <v>11</v>
      </c>
      <c r="I8" s="3">
        <v>0.9</v>
      </c>
      <c r="K8" t="b">
        <f t="shared" si="0"/>
        <v>1</v>
      </c>
      <c r="L8" t="b">
        <f t="shared" si="1"/>
        <v>1</v>
      </c>
      <c r="M8" t="str">
        <f t="shared" si="2"/>
        <v>FALSE</v>
      </c>
      <c r="N8" t="b">
        <f t="shared" si="3"/>
        <v>1</v>
      </c>
      <c r="O8" t="str">
        <f t="shared" si="4"/>
        <v>TRUE</v>
      </c>
      <c r="P8" t="b">
        <f t="shared" si="5"/>
        <v>0</v>
      </c>
      <c r="Q8" t="str">
        <f t="shared" si="6"/>
        <v>FALSE</v>
      </c>
      <c r="R8" t="str">
        <f t="shared" si="7"/>
        <v>TRUE</v>
      </c>
      <c r="S8" t="str">
        <f t="shared" si="8"/>
        <v>TRUE</v>
      </c>
      <c r="T8" t="str">
        <f t="shared" si="9"/>
        <v>FALSE</v>
      </c>
    </row>
    <row r="9" spans="1:20">
      <c r="A9" s="7">
        <v>108</v>
      </c>
      <c r="B9" s="8" t="s">
        <v>25</v>
      </c>
      <c r="C9" s="8">
        <v>23</v>
      </c>
      <c r="D9" s="8" t="s">
        <v>26</v>
      </c>
      <c r="E9" s="8">
        <v>3.1</v>
      </c>
      <c r="F9" s="8" t="s">
        <v>11</v>
      </c>
      <c r="G9" s="8" t="s">
        <v>14</v>
      </c>
      <c r="H9" s="8" t="s">
        <v>14</v>
      </c>
      <c r="I9" s="9">
        <v>0.88</v>
      </c>
      <c r="K9" t="b">
        <f t="shared" si="0"/>
        <v>0</v>
      </c>
      <c r="L9" t="b">
        <f t="shared" si="1"/>
        <v>0</v>
      </c>
      <c r="M9" t="str">
        <f t="shared" si="2"/>
        <v>TRUE</v>
      </c>
      <c r="N9" t="b">
        <f t="shared" si="3"/>
        <v>0</v>
      </c>
      <c r="O9" t="str">
        <f t="shared" si="4"/>
        <v>FALSE</v>
      </c>
      <c r="P9" t="b">
        <f t="shared" si="5"/>
        <v>1</v>
      </c>
      <c r="Q9" t="str">
        <f t="shared" si="6"/>
        <v>FALSE</v>
      </c>
      <c r="R9" t="str">
        <f t="shared" si="7"/>
        <v>FALSE</v>
      </c>
      <c r="S9" t="str">
        <f t="shared" si="8"/>
        <v>FALSE</v>
      </c>
      <c r="T9" t="str">
        <f t="shared" si="9"/>
        <v>FALSE</v>
      </c>
    </row>
    <row r="10" spans="1:20">
      <c r="A10" s="4"/>
      <c r="B10" s="4"/>
      <c r="C10" s="4"/>
      <c r="D10" s="4"/>
      <c r="E10" s="4"/>
      <c r="F10" s="4"/>
      <c r="G10" s="4"/>
      <c r="H10" s="4"/>
      <c r="I10" s="4"/>
    </row>
    <row r="11" spans="1:20">
      <c r="A11" s="4"/>
      <c r="B11" s="4"/>
      <c r="C11" s="4"/>
      <c r="D11" s="4"/>
      <c r="E11" s="4"/>
      <c r="F11" s="4"/>
      <c r="G11" s="4"/>
      <c r="H11" s="4"/>
      <c r="I11" s="4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kalpesh saddu</dc:creator>
  <cp:lastModifiedBy>kalpesh saddu</cp:lastModifiedBy>
  <dcterms:created xsi:type="dcterms:W3CDTF">2026-10-28T15:46:20Z</dcterms:created>
  <dcterms:modified xsi:type="dcterms:W3CDTF">2026-10-28T16:08:19Z</dcterms:modified>
</cp:coreProperties>
</file>